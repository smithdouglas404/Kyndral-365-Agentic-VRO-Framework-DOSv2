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nee.sharepoint.com/teams/AnnualESGReports/Shared Documents/General/2025 Reports/PDF Designs/Designs sent to C-suite/"/>
    </mc:Choice>
  </mc:AlternateContent>
  <xr:revisionPtr revIDLastSave="0" documentId="8_{08B07E1F-AD6C-4DF6-930B-4CB78D944550}" xr6:coauthVersionLast="47" xr6:coauthVersionMax="47" xr10:uidLastSave="{00000000-0000-0000-0000-000000000000}"/>
  <workbookProtection workbookAlgorithmName="SHA-512" workbookHashValue="i1TtLw2VcDLGTaZR8BbqQnv4eWuVS3ZqjankVVbfZL/ZP0X505VjRQExu9jEZ/8yZ/c3zdcCQFts5SG2F8kxjA==" workbookSaltValue="nPKsD4Zah7V2NNGrC2RmhQ==" workbookSpinCount="100000" lockStructure="1"/>
  <bookViews>
    <workbookView xWindow="-110" yWindow="-110" windowWidth="19420" windowHeight="10300" activeTab="1" xr2:uid="{4894D445-D44C-40CD-8D64-01A61B10BD10}"/>
  </bookViews>
  <sheets>
    <sheet name="Profile " sheetId="1" r:id="rId1"/>
    <sheet name="Environment" sheetId="2" r:id="rId2"/>
  </sheets>
  <calcPr calcId="191028" concurrentManualCount="2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3" i="1" l="1"/>
  <c r="F51" i="1"/>
  <c r="F50" i="1"/>
  <c r="F48" i="1"/>
  <c r="F47" i="1"/>
  <c r="F17" i="1"/>
  <c r="F16" i="1"/>
  <c r="F19" i="1" s="1"/>
  <c r="F55" i="1" l="1"/>
  <c r="F64" i="1" s="1"/>
  <c r="F98" i="1"/>
  <c r="F97" i="1"/>
  <c r="F58" i="1"/>
  <c r="F65" i="1"/>
  <c r="F36" i="1"/>
  <c r="F28" i="1"/>
  <c r="F59" i="1" l="1"/>
  <c r="F60" i="1"/>
  <c r="F61" i="1"/>
  <c r="F62" i="1"/>
  <c r="F63" i="1"/>
  <c r="F99" i="1"/>
  <c r="F101" i="1"/>
  <c r="F100" i="1"/>
  <c r="F83" i="1"/>
  <c r="F82" i="1"/>
  <c r="F81" i="1"/>
  <c r="F80" i="1"/>
  <c r="F78" i="1"/>
  <c r="F84" i="1"/>
  <c r="F79" i="1"/>
</calcChain>
</file>

<file path=xl/sharedStrings.xml><?xml version="1.0" encoding="utf-8"?>
<sst xmlns="http://schemas.openxmlformats.org/spreadsheetml/2006/main" count="378" uniqueCount="96">
  <si>
    <t>Profile</t>
  </si>
  <si>
    <t>Operating Revenues</t>
  </si>
  <si>
    <t>$17.1 billion</t>
  </si>
  <si>
    <t>$21.0 billion</t>
  </si>
  <si>
    <t>$28.1 billion</t>
  </si>
  <si>
    <t>$24.8 billion</t>
  </si>
  <si>
    <t>Net income attributable to NextEra Energy</t>
  </si>
  <si>
    <t>$3.6 billion</t>
  </si>
  <si>
    <t>$4.1 billion</t>
  </si>
  <si>
    <t>$7.3 billion</t>
  </si>
  <si>
    <t>$6.9 billion</t>
  </si>
  <si>
    <t>Earnings per share (assuming dilution)(1)</t>
  </si>
  <si>
    <t>Total equity</t>
  </si>
  <si>
    <t>$45.4 billion</t>
  </si>
  <si>
    <t>$48.3 billion</t>
  </si>
  <si>
    <t>$57.8 billion</t>
  </si>
  <si>
    <t>$60.5 billion</t>
  </si>
  <si>
    <t>Total capitalization</t>
  </si>
  <si>
    <t>$96.6 billion</t>
  </si>
  <si>
    <t>$104.7 billion</t>
  </si>
  <si>
    <t>$120.4 billion</t>
  </si>
  <si>
    <t>$133.2 billion</t>
  </si>
  <si>
    <t>Cash flows from operating activities</t>
  </si>
  <si>
    <t>$7.6 billion</t>
  </si>
  <si>
    <t>$8.3 billion</t>
  </si>
  <si>
    <t>$11.3 billion</t>
  </si>
  <si>
    <t>Total assets</t>
  </si>
  <si>
    <t>$140.9 billion</t>
  </si>
  <si>
    <t>$158.9 billion</t>
  </si>
  <si>
    <t>$177.5 billion</t>
  </si>
  <si>
    <t>$190.1 billion</t>
  </si>
  <si>
    <t>Total Annual Capital Expenditures(2)</t>
  </si>
  <si>
    <t>$15.8 billion</t>
  </si>
  <si>
    <t>$19.3 billion</t>
  </si>
  <si>
    <t>$25.1 billion</t>
  </si>
  <si>
    <t>$24.7 billion</t>
  </si>
  <si>
    <t>NextEra Energy Owned Net Generation Capacity at end of year (MW)(3, 4)</t>
  </si>
  <si>
    <t>Coal(5)</t>
  </si>
  <si>
    <t>Natural Gas(6)</t>
  </si>
  <si>
    <t>Nuclear</t>
  </si>
  <si>
    <t>Oil</t>
  </si>
  <si>
    <t>Solar(7)</t>
  </si>
  <si>
    <t>Wind</t>
  </si>
  <si>
    <t>Landfill Gas</t>
  </si>
  <si>
    <t>Total</t>
  </si>
  <si>
    <t>Florida Power &amp; Light Owned Net Generation Capacity at end of year (MW)</t>
  </si>
  <si>
    <t>Natural Gas(6,7)</t>
  </si>
  <si>
    <t>Landfill gas</t>
  </si>
  <si>
    <t>Solar</t>
  </si>
  <si>
    <t>NextEra Energy Resources Owned Net Generation Capacity at end of year (MW) (3, 4)</t>
  </si>
  <si>
    <t>Natural Gas</t>
  </si>
  <si>
    <t>Gulf Power Net Generation Capacity at end of year (MW)</t>
  </si>
  <si>
    <t>Coal</t>
  </si>
  <si>
    <t>-</t>
  </si>
  <si>
    <t>NextEra Energy Owned Net Generation (MWh) (3, 4, 9)</t>
  </si>
  <si>
    <t>Hydrogen</t>
  </si>
  <si>
    <t>Florida Power &amp; Light Owned Net Generation (MWh) (3, 9)</t>
  </si>
  <si>
    <t>Coal </t>
  </si>
  <si>
    <t xml:space="preserve"> </t>
  </si>
  <si>
    <t>NextEra Energy Resources Owned Net Generation (MWh) (3)</t>
  </si>
  <si>
    <t>Natural Gas(8)</t>
  </si>
  <si>
    <t>Nuclear(8)</t>
  </si>
  <si>
    <t>Oil(8)</t>
  </si>
  <si>
    <t>Total </t>
  </si>
  <si>
    <t>NextEra Energy Resources Owned Generation (% of total MWhs), by fuel type (3, 10)</t>
  </si>
  <si>
    <t>Gulf Power Owned Net Generation (MWh)</t>
  </si>
  <si>
    <t>Gulf Power Owned Generation (% of total MWhs), by fuel type</t>
  </si>
  <si>
    <t>1) Adjusted to reflect a four-for-one split of NextEra Energy common stock occurred Oct. 26, 2020.</t>
  </si>
  <si>
    <t>2) Per NextEra Energy, Inc. 10-K filings.</t>
  </si>
  <si>
    <t xml:space="preserve">3) Certain facilities within the NextEra Energy wind and solar generation portfolio produce Renewable Energy Credits and other environmental attributes which are typically sold along with the energy from the plants under long-term contracts, or may be sold separately from wind and solar generation not sold under long-term contracts. The purchasing party is solely entitled to the reporting rights and ownership of the environmental attributes. Visit “Reports and Filings” on the investor page of NextEraEnergy.com for more information. </t>
  </si>
  <si>
    <t xml:space="preserve">4) As a result of deconsolidation of NextEra Energy Partners for accounting purposes; 2018 and later data includes only NextEra Energy’s ownership share in NextEra Energy Partners projects. </t>
  </si>
  <si>
    <t>5) NextEra Energy coal capacity and generation increased due to the acquisition of Gulf Power.</t>
  </si>
  <si>
    <t>6) Some natural gas plants have the ability to use oil for additional fuel flexibility.</t>
  </si>
  <si>
    <t>7) The megawatts (MW) generated by the 75 MW solar thermal hybrid facility replace steam produced by this unit and therefore are not incremental.</t>
  </si>
  <si>
    <t>9) 2022 data is inclusive of FPL and FPL Northwest (formerly Gulf Power).</t>
  </si>
  <si>
    <t> </t>
  </si>
  <si>
    <t xml:space="preserve">10) Percentages may not add up to 100 due to rounding. </t>
  </si>
  <si>
    <t>Environment</t>
  </si>
  <si>
    <t>Emissions (1, 2, 3) </t>
  </si>
  <si>
    <t>NextEra Energy emissions</t>
  </si>
  <si>
    <t>NOX emissions (tons)</t>
  </si>
  <si>
    <t>SO2 emissions (tons)</t>
  </si>
  <si>
    <t>CO2 emissions (tons)</t>
  </si>
  <si>
    <t>NOX emissions rates (lbs/MWh)</t>
  </si>
  <si>
    <t>SO2 emissions rates (lbs/MWh)</t>
  </si>
  <si>
    <t>CO2 emissions rates (lbs/MWh)</t>
  </si>
  <si>
    <t>Florida Power &amp; Light emissions</t>
  </si>
  <si>
    <t>NextEra Energy Resources emissions</t>
  </si>
  <si>
    <t>Gulf Power emissions</t>
  </si>
  <si>
    <t>1) Includes direct CO2-emissions data for NextEra Energy ("the Company") owned power plant sites, as well as joint ownership sites, which were adjusted to account for the Company's ownership share only.</t>
  </si>
  <si>
    <t xml:space="preserve">2) NextEra Energy conducts business under regulatory regimes that require CO2 rather than CO2e reporting, therefore this report is consistent with those requirements. </t>
  </si>
  <si>
    <t>3) Certain facilities within the NextEra Energy wind and solar generation portfolio produce renewable energy credits and other environmental attributes, which are typically sold along with the energy from the plants under long-term contracts, or may be sold separately from wind and solar generation not sold under long-term contracts. The purchasing party is solely entitled to the reporting rights and ownership of the environmental attributes. Visit “Reports and Filings” on the investor page of NextEraEnergy.com for more information.</t>
  </si>
  <si>
    <t>$13.3 billion</t>
  </si>
  <si>
    <t xml:space="preserve">8) The decrease in NextEra Energy Resources' nuclear generation in 2021 is due to the retirement of the Duane Arnold nuclear power plant. </t>
  </si>
  <si>
    <t>NextEra Energy Owned Net Generation (% of total MWhs), by fuel type (3, 4, 10)</t>
  </si>
  <si>
    <t>Florida Power &amp; Light Owned Net Generation (% of total MWhs), by fuel type (3, 9,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</si>
</sst>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 #,##0.0_);_(* \(#,##0.0\);_(* &quot;-&quot;??_);_(@_)"/>
    <numFmt numFmtId="165" formatCode="_(* #,##0_);_(* \(#,##0\);_(* &quot;-&quot;??_);_(@_)"/>
    <numFmt numFmtId="166" formatCode="&quot;$&quot;#.00"/>
  </numFmts>
  <fonts count="4" x14ac:knownFonts="1">
    <font>
      <sz val="11"/>
      <color theme="1"/>
      <name val="Aptos Narrow"/>
      <family val="2"/>
      <scheme val="minor"/>
    </font>
    <font>
      <b/>
      <sz val="11"/>
      <color theme="1"/>
      <name val="Aptos Narrow"/>
      <family val="2"/>
      <scheme val="minor"/>
    </font>
    <font>
      <b/>
      <sz val="11"/>
      <color rgb="FFFF0000"/>
      <name val="Aptos Narrow"/>
      <family val="2"/>
      <scheme val="minor"/>
    </font>
    <font>
      <sz val="11"/>
      <color theme="1"/>
      <name val="Aptos Narrow"/>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cellStyleXfs>
  <cellXfs count="22">
    <xf numFmtId="0" fontId="0" fillId="0" borderId="0" xfId="0"/>
    <xf numFmtId="0" fontId="0" fillId="0" borderId="0" xfId="0" applyAlignment="1">
      <alignment wrapText="1"/>
    </xf>
    <xf numFmtId="0" fontId="2" fillId="0" borderId="0" xfId="0" applyFont="1" applyFill="1" applyAlignment="1">
      <alignment horizontal="center"/>
    </xf>
    <xf numFmtId="0" fontId="1" fillId="2" borderId="1" xfId="0" applyFont="1" applyFill="1" applyBorder="1"/>
    <xf numFmtId="0" fontId="0" fillId="0" borderId="1" xfId="0" applyBorder="1"/>
    <xf numFmtId="0" fontId="1" fillId="0" borderId="1" xfId="0" applyFont="1" applyBorder="1"/>
    <xf numFmtId="43" fontId="0" fillId="0" borderId="1" xfId="1" applyNumberFormat="1" applyFont="1" applyBorder="1"/>
    <xf numFmtId="43" fontId="0" fillId="0" borderId="1" xfId="1" applyFont="1" applyBorder="1"/>
    <xf numFmtId="0" fontId="0" fillId="0" borderId="1" xfId="0" applyBorder="1" applyAlignment="1">
      <alignment wrapText="1"/>
    </xf>
    <xf numFmtId="44" fontId="0" fillId="0" borderId="1" xfId="2" applyFont="1" applyBorder="1"/>
    <xf numFmtId="44" fontId="0" fillId="0" borderId="1" xfId="2" applyFont="1" applyFill="1" applyBorder="1"/>
    <xf numFmtId="166" fontId="0" fillId="0" borderId="1" xfId="2" applyNumberFormat="1" applyFont="1" applyBorder="1" applyAlignment="1">
      <alignment horizontal="left"/>
    </xf>
    <xf numFmtId="0" fontId="0" fillId="0" borderId="1" xfId="0" applyFill="1" applyBorder="1"/>
    <xf numFmtId="0" fontId="0" fillId="2" borderId="1" xfId="0" applyFill="1" applyBorder="1"/>
    <xf numFmtId="165" fontId="0" fillId="0" borderId="1" xfId="1" applyNumberFormat="1" applyFont="1" applyBorder="1"/>
    <xf numFmtId="165" fontId="0" fillId="0" borderId="1" xfId="1" applyNumberFormat="1" applyFont="1" applyFill="1" applyBorder="1"/>
    <xf numFmtId="164" fontId="0" fillId="0" borderId="1" xfId="1" applyNumberFormat="1" applyFont="1" applyBorder="1"/>
    <xf numFmtId="9" fontId="0" fillId="0" borderId="1" xfId="3" applyFont="1" applyBorder="1"/>
    <xf numFmtId="9" fontId="0" fillId="0" borderId="1" xfId="3" applyFont="1" applyFill="1" applyBorder="1"/>
    <xf numFmtId="0" fontId="0" fillId="0" borderId="0" xfId="0" applyFill="1" applyAlignment="1">
      <alignment wrapText="1"/>
    </xf>
    <xf numFmtId="0" fontId="1" fillId="2" borderId="1" xfId="0" applyFont="1" applyFill="1" applyBorder="1" applyAlignment="1">
      <alignment horizontal="left"/>
    </xf>
    <xf numFmtId="0" fontId="1" fillId="3" borderId="1" xfId="0" applyFont="1" applyFill="1" applyBorder="1" applyAlignment="1">
      <alignment horizontal="left"/>
    </xf>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FAD02-670E-4CF7-9829-4CFF60E37377}">
  <dimension ref="B1:U129"/>
  <sheetViews>
    <sheetView showGridLines="0" zoomScaleNormal="100" workbookViewId="0">
      <selection activeCell="A127" sqref="A127:XFD127"/>
    </sheetView>
  </sheetViews>
  <sheetFormatPr defaultColWidth="14.1796875" defaultRowHeight="14.5" x14ac:dyDescent="0.35"/>
  <cols>
    <col min="2" max="2" width="48" customWidth="1"/>
    <col min="3" max="5" width="15.26953125" bestFit="1" customWidth="1"/>
    <col min="6" max="6" width="15.81640625" bestFit="1" customWidth="1"/>
  </cols>
  <sheetData>
    <row r="1" spans="2:6" x14ac:dyDescent="0.35">
      <c r="B1" s="3" t="s">
        <v>0</v>
      </c>
      <c r="C1" s="3">
        <v>2021</v>
      </c>
      <c r="D1" s="3">
        <v>2022</v>
      </c>
      <c r="E1" s="3">
        <v>2023</v>
      </c>
      <c r="F1" s="3">
        <v>2024</v>
      </c>
    </row>
    <row r="2" spans="2:6" x14ac:dyDescent="0.35">
      <c r="B2" s="8" t="s">
        <v>1</v>
      </c>
      <c r="C2" s="9" t="s">
        <v>2</v>
      </c>
      <c r="D2" s="10" t="s">
        <v>3</v>
      </c>
      <c r="E2" s="10" t="s">
        <v>4</v>
      </c>
      <c r="F2" s="10" t="s">
        <v>5</v>
      </c>
    </row>
    <row r="3" spans="2:6" x14ac:dyDescent="0.35">
      <c r="B3" s="8" t="s">
        <v>6</v>
      </c>
      <c r="C3" s="9" t="s">
        <v>7</v>
      </c>
      <c r="D3" s="10" t="s">
        <v>8</v>
      </c>
      <c r="E3" s="10" t="s">
        <v>9</v>
      </c>
      <c r="F3" s="10" t="s">
        <v>10</v>
      </c>
    </row>
    <row r="4" spans="2:6" x14ac:dyDescent="0.35">
      <c r="B4" s="8" t="s">
        <v>11</v>
      </c>
      <c r="C4" s="11">
        <v>1.81</v>
      </c>
      <c r="D4" s="11">
        <v>2.1</v>
      </c>
      <c r="E4" s="11">
        <v>3.6</v>
      </c>
      <c r="F4" s="11">
        <v>3.37</v>
      </c>
    </row>
    <row r="5" spans="2:6" x14ac:dyDescent="0.35">
      <c r="B5" s="8" t="s">
        <v>12</v>
      </c>
      <c r="C5" s="9" t="s">
        <v>13</v>
      </c>
      <c r="D5" s="10" t="s">
        <v>14</v>
      </c>
      <c r="E5" s="10" t="s">
        <v>15</v>
      </c>
      <c r="F5" s="10" t="s">
        <v>16</v>
      </c>
    </row>
    <row r="6" spans="2:6" x14ac:dyDescent="0.35">
      <c r="B6" s="8" t="s">
        <v>17</v>
      </c>
      <c r="C6" s="4" t="s">
        <v>18</v>
      </c>
      <c r="D6" s="12" t="s">
        <v>19</v>
      </c>
      <c r="E6" s="12" t="s">
        <v>20</v>
      </c>
      <c r="F6" s="12" t="s">
        <v>21</v>
      </c>
    </row>
    <row r="7" spans="2:6" x14ac:dyDescent="0.35">
      <c r="B7" s="8" t="s">
        <v>22</v>
      </c>
      <c r="C7" s="4" t="s">
        <v>23</v>
      </c>
      <c r="D7" s="12" t="s">
        <v>24</v>
      </c>
      <c r="E7" s="12" t="s">
        <v>25</v>
      </c>
      <c r="F7" s="12" t="s">
        <v>92</v>
      </c>
    </row>
    <row r="8" spans="2:6" x14ac:dyDescent="0.35">
      <c r="B8" s="8" t="s">
        <v>26</v>
      </c>
      <c r="C8" s="4" t="s">
        <v>27</v>
      </c>
      <c r="D8" s="12" t="s">
        <v>28</v>
      </c>
      <c r="E8" s="12" t="s">
        <v>29</v>
      </c>
      <c r="F8" s="12" t="s">
        <v>30</v>
      </c>
    </row>
    <row r="9" spans="2:6" x14ac:dyDescent="0.35">
      <c r="B9" s="8" t="s">
        <v>31</v>
      </c>
      <c r="C9" s="4" t="s">
        <v>32</v>
      </c>
      <c r="D9" s="12" t="s">
        <v>33</v>
      </c>
      <c r="E9" s="12" t="s">
        <v>34</v>
      </c>
      <c r="F9" s="12" t="s">
        <v>35</v>
      </c>
    </row>
    <row r="10" spans="2:6" x14ac:dyDescent="0.35">
      <c r="B10" s="4"/>
      <c r="C10" s="4"/>
      <c r="D10" s="4"/>
      <c r="E10" s="4"/>
      <c r="F10" s="4"/>
    </row>
    <row r="11" spans="2:6" x14ac:dyDescent="0.35">
      <c r="B11" s="20" t="s">
        <v>36</v>
      </c>
      <c r="C11" s="20"/>
      <c r="D11" s="20"/>
      <c r="E11" s="20"/>
      <c r="F11" s="13"/>
    </row>
    <row r="12" spans="2:6" x14ac:dyDescent="0.35">
      <c r="B12" s="4" t="s">
        <v>37</v>
      </c>
      <c r="C12" s="14">
        <v>717</v>
      </c>
      <c r="D12" s="14">
        <v>717</v>
      </c>
      <c r="E12" s="14">
        <v>717</v>
      </c>
      <c r="F12" s="14">
        <v>215</v>
      </c>
    </row>
    <row r="13" spans="2:6" x14ac:dyDescent="0.35">
      <c r="B13" s="4" t="s">
        <v>38</v>
      </c>
      <c r="C13" s="14">
        <v>26030</v>
      </c>
      <c r="D13" s="14">
        <v>25683</v>
      </c>
      <c r="E13" s="14">
        <v>25701</v>
      </c>
      <c r="F13" s="14">
        <v>25744</v>
      </c>
    </row>
    <row r="14" spans="2:6" x14ac:dyDescent="0.35">
      <c r="B14" s="4" t="s">
        <v>39</v>
      </c>
      <c r="C14" s="14">
        <v>5795</v>
      </c>
      <c r="D14" s="14">
        <v>5795</v>
      </c>
      <c r="E14" s="14">
        <v>5795</v>
      </c>
      <c r="F14" s="14">
        <v>5795</v>
      </c>
    </row>
    <row r="15" spans="2:6" x14ac:dyDescent="0.35">
      <c r="B15" s="4" t="s">
        <v>40</v>
      </c>
      <c r="C15" s="14">
        <v>964</v>
      </c>
      <c r="D15" s="14">
        <v>855</v>
      </c>
      <c r="E15" s="14">
        <v>855</v>
      </c>
      <c r="F15" s="14">
        <v>855</v>
      </c>
    </row>
    <row r="16" spans="2:6" x14ac:dyDescent="0.35">
      <c r="B16" s="4" t="s">
        <v>41</v>
      </c>
      <c r="C16" s="14">
        <v>6555</v>
      </c>
      <c r="D16" s="14">
        <v>7534</v>
      </c>
      <c r="E16" s="14">
        <v>10659</v>
      </c>
      <c r="F16" s="15">
        <f>F27+F34</f>
        <v>14875</v>
      </c>
    </row>
    <row r="17" spans="2:6" x14ac:dyDescent="0.35">
      <c r="B17" s="4" t="s">
        <v>42</v>
      </c>
      <c r="C17" s="14">
        <v>16517</v>
      </c>
      <c r="D17" s="14">
        <v>18891</v>
      </c>
      <c r="E17" s="14">
        <v>20147</v>
      </c>
      <c r="F17" s="15">
        <f>F35</f>
        <v>20977</v>
      </c>
    </row>
    <row r="18" spans="2:6" x14ac:dyDescent="0.35">
      <c r="B18" s="4" t="s">
        <v>43</v>
      </c>
      <c r="C18" s="14">
        <v>3</v>
      </c>
      <c r="D18" s="14">
        <v>3</v>
      </c>
      <c r="E18" s="14">
        <v>3</v>
      </c>
      <c r="F18" s="14">
        <v>3</v>
      </c>
    </row>
    <row r="19" spans="2:6" x14ac:dyDescent="0.35">
      <c r="B19" s="4" t="s">
        <v>44</v>
      </c>
      <c r="C19" s="14">
        <v>56581</v>
      </c>
      <c r="D19" s="14">
        <v>59478</v>
      </c>
      <c r="E19" s="14">
        <v>63877</v>
      </c>
      <c r="F19" s="15">
        <f>SUM(F12:F18)</f>
        <v>68464</v>
      </c>
    </row>
    <row r="20" spans="2:6" x14ac:dyDescent="0.35">
      <c r="B20" s="4"/>
      <c r="C20" s="4"/>
      <c r="D20" s="4"/>
      <c r="E20" s="4"/>
      <c r="F20" s="4"/>
    </row>
    <row r="21" spans="2:6" x14ac:dyDescent="0.35">
      <c r="B21" s="20" t="s">
        <v>45</v>
      </c>
      <c r="C21" s="20"/>
      <c r="D21" s="20"/>
      <c r="E21" s="20"/>
      <c r="F21" s="13"/>
    </row>
    <row r="22" spans="2:6" x14ac:dyDescent="0.35">
      <c r="B22" s="4" t="s">
        <v>37</v>
      </c>
      <c r="C22" s="14">
        <v>0</v>
      </c>
      <c r="D22" s="14">
        <v>717</v>
      </c>
      <c r="E22" s="14">
        <v>717</v>
      </c>
      <c r="F22" s="14">
        <v>215</v>
      </c>
    </row>
    <row r="23" spans="2:6" x14ac:dyDescent="0.35">
      <c r="B23" s="4" t="s">
        <v>46</v>
      </c>
      <c r="C23" s="14">
        <v>21900</v>
      </c>
      <c r="D23" s="14">
        <v>24102</v>
      </c>
      <c r="E23" s="14">
        <v>24117</v>
      </c>
      <c r="F23" s="14">
        <v>24160</v>
      </c>
    </row>
    <row r="24" spans="2:6" x14ac:dyDescent="0.35">
      <c r="B24" s="4" t="s">
        <v>39</v>
      </c>
      <c r="C24" s="14">
        <v>3502</v>
      </c>
      <c r="D24" s="14">
        <v>3502</v>
      </c>
      <c r="E24" s="14">
        <v>3502</v>
      </c>
      <c r="F24" s="14">
        <v>3502</v>
      </c>
    </row>
    <row r="25" spans="2:6" x14ac:dyDescent="0.35">
      <c r="B25" s="4" t="s">
        <v>40</v>
      </c>
      <c r="C25" s="14">
        <v>108</v>
      </c>
      <c r="D25" s="14">
        <v>134</v>
      </c>
      <c r="E25" s="14">
        <v>134</v>
      </c>
      <c r="F25" s="14">
        <v>134</v>
      </c>
    </row>
    <row r="26" spans="2:6" x14ac:dyDescent="0.35">
      <c r="B26" s="4" t="s">
        <v>47</v>
      </c>
      <c r="C26" s="14">
        <v>3</v>
      </c>
      <c r="D26" s="14">
        <v>3</v>
      </c>
      <c r="E26" s="14">
        <v>3</v>
      </c>
      <c r="F26" s="14">
        <v>3</v>
      </c>
    </row>
    <row r="27" spans="2:6" x14ac:dyDescent="0.35">
      <c r="B27" s="4" t="s">
        <v>48</v>
      </c>
      <c r="C27" s="14">
        <v>2940</v>
      </c>
      <c r="D27" s="14">
        <v>3611</v>
      </c>
      <c r="E27" s="14">
        <v>4803</v>
      </c>
      <c r="F27" s="14">
        <v>7038</v>
      </c>
    </row>
    <row r="28" spans="2:6" x14ac:dyDescent="0.35">
      <c r="B28" s="4" t="s">
        <v>44</v>
      </c>
      <c r="C28" s="14">
        <v>28453</v>
      </c>
      <c r="D28" s="14">
        <v>32069</v>
      </c>
      <c r="E28" s="14">
        <v>33276</v>
      </c>
      <c r="F28" s="14">
        <f>SUM(F22:F27)</f>
        <v>35052</v>
      </c>
    </row>
    <row r="29" spans="2:6" x14ac:dyDescent="0.35">
      <c r="B29" s="4"/>
      <c r="C29" s="4"/>
      <c r="D29" s="4"/>
      <c r="E29" s="4"/>
      <c r="F29" s="4"/>
    </row>
    <row r="30" spans="2:6" x14ac:dyDescent="0.35">
      <c r="B30" s="20" t="s">
        <v>49</v>
      </c>
      <c r="C30" s="20"/>
      <c r="D30" s="20"/>
      <c r="E30" s="20"/>
      <c r="F30" s="13"/>
    </row>
    <row r="31" spans="2:6" x14ac:dyDescent="0.35">
      <c r="B31" s="4" t="s">
        <v>50</v>
      </c>
      <c r="C31" s="14">
        <v>1565</v>
      </c>
      <c r="D31" s="14">
        <v>1584</v>
      </c>
      <c r="E31" s="14">
        <v>1584</v>
      </c>
      <c r="F31" s="15">
        <v>1584</v>
      </c>
    </row>
    <row r="32" spans="2:6" x14ac:dyDescent="0.35">
      <c r="B32" s="4" t="s">
        <v>39</v>
      </c>
      <c r="C32" s="14">
        <v>2293</v>
      </c>
      <c r="D32" s="14">
        <v>2292</v>
      </c>
      <c r="E32" s="14">
        <v>2293</v>
      </c>
      <c r="F32" s="15">
        <v>2293</v>
      </c>
    </row>
    <row r="33" spans="2:6" x14ac:dyDescent="0.35">
      <c r="B33" s="4" t="s">
        <v>40</v>
      </c>
      <c r="C33" s="14">
        <v>824</v>
      </c>
      <c r="D33" s="14">
        <v>721</v>
      </c>
      <c r="E33" s="14">
        <v>721</v>
      </c>
      <c r="F33" s="15">
        <v>721</v>
      </c>
    </row>
    <row r="34" spans="2:6" x14ac:dyDescent="0.35">
      <c r="B34" s="4" t="s">
        <v>48</v>
      </c>
      <c r="C34" s="14">
        <v>3391</v>
      </c>
      <c r="D34" s="14">
        <v>3924</v>
      </c>
      <c r="E34" s="14">
        <v>5856</v>
      </c>
      <c r="F34" s="15">
        <v>7837</v>
      </c>
    </row>
    <row r="35" spans="2:6" x14ac:dyDescent="0.35">
      <c r="B35" s="4" t="s">
        <v>42</v>
      </c>
      <c r="C35" s="14">
        <v>16517</v>
      </c>
      <c r="D35" s="14">
        <v>18891</v>
      </c>
      <c r="E35" s="14">
        <v>20147</v>
      </c>
      <c r="F35" s="15">
        <v>20977</v>
      </c>
    </row>
    <row r="36" spans="2:6" x14ac:dyDescent="0.35">
      <c r="B36" s="4" t="s">
        <v>44</v>
      </c>
      <c r="C36" s="14">
        <v>24590</v>
      </c>
      <c r="D36" s="14">
        <v>27412</v>
      </c>
      <c r="E36" s="14">
        <v>30601</v>
      </c>
      <c r="F36" s="15">
        <f>SUM(F31:F35)</f>
        <v>33412</v>
      </c>
    </row>
    <row r="37" spans="2:6" x14ac:dyDescent="0.35">
      <c r="B37" s="4"/>
      <c r="C37" s="4"/>
      <c r="D37" s="4"/>
      <c r="E37" s="4"/>
      <c r="F37" s="4"/>
    </row>
    <row r="38" spans="2:6" x14ac:dyDescent="0.35">
      <c r="B38" s="20" t="s">
        <v>51</v>
      </c>
      <c r="C38" s="20"/>
      <c r="D38" s="20"/>
      <c r="E38" s="20"/>
      <c r="F38" s="20"/>
    </row>
    <row r="39" spans="2:6" x14ac:dyDescent="0.35">
      <c r="B39" s="4" t="s">
        <v>52</v>
      </c>
      <c r="C39" s="16">
        <v>717</v>
      </c>
      <c r="D39" s="16" t="s">
        <v>53</v>
      </c>
      <c r="E39" s="16" t="s">
        <v>53</v>
      </c>
      <c r="F39" s="16" t="s">
        <v>53</v>
      </c>
    </row>
    <row r="40" spans="2:6" x14ac:dyDescent="0.35">
      <c r="B40" s="4" t="s">
        <v>50</v>
      </c>
      <c r="C40" s="16">
        <v>2565</v>
      </c>
      <c r="D40" s="16" t="s">
        <v>53</v>
      </c>
      <c r="E40" s="16" t="s">
        <v>53</v>
      </c>
      <c r="F40" s="16" t="s">
        <v>53</v>
      </c>
    </row>
    <row r="41" spans="2:6" x14ac:dyDescent="0.35">
      <c r="B41" s="4" t="s">
        <v>40</v>
      </c>
      <c r="C41" s="16">
        <v>32</v>
      </c>
      <c r="D41" s="16" t="s">
        <v>53</v>
      </c>
      <c r="E41" s="16" t="s">
        <v>53</v>
      </c>
      <c r="F41" s="16" t="s">
        <v>53</v>
      </c>
    </row>
    <row r="42" spans="2:6" x14ac:dyDescent="0.35">
      <c r="B42" s="4" t="s">
        <v>43</v>
      </c>
      <c r="C42" s="16">
        <v>3</v>
      </c>
      <c r="D42" s="16" t="s">
        <v>53</v>
      </c>
      <c r="E42" s="16" t="s">
        <v>53</v>
      </c>
      <c r="F42" s="16" t="s">
        <v>53</v>
      </c>
    </row>
    <row r="43" spans="2:6" x14ac:dyDescent="0.35">
      <c r="B43" s="4" t="s">
        <v>48</v>
      </c>
      <c r="C43" s="16">
        <v>224</v>
      </c>
      <c r="D43" s="16" t="s">
        <v>53</v>
      </c>
      <c r="E43" s="16" t="s">
        <v>53</v>
      </c>
      <c r="F43" s="16" t="s">
        <v>53</v>
      </c>
    </row>
    <row r="44" spans="2:6" x14ac:dyDescent="0.35">
      <c r="B44" s="4" t="s">
        <v>44</v>
      </c>
      <c r="C44" s="16">
        <v>3541</v>
      </c>
      <c r="D44" s="16" t="s">
        <v>53</v>
      </c>
      <c r="E44" s="16" t="s">
        <v>53</v>
      </c>
      <c r="F44" s="16" t="s">
        <v>53</v>
      </c>
    </row>
    <row r="45" spans="2:6" x14ac:dyDescent="0.35">
      <c r="B45" s="4"/>
      <c r="C45" s="4"/>
      <c r="D45" s="4"/>
      <c r="E45" s="4"/>
      <c r="F45" s="4"/>
    </row>
    <row r="46" spans="2:6" x14ac:dyDescent="0.35">
      <c r="B46" s="20" t="s">
        <v>54</v>
      </c>
      <c r="C46" s="20"/>
      <c r="D46" s="20"/>
      <c r="E46" s="20"/>
      <c r="F46" s="20"/>
    </row>
    <row r="47" spans="2:6" x14ac:dyDescent="0.35">
      <c r="B47" s="4" t="s">
        <v>37</v>
      </c>
      <c r="C47" s="14">
        <v>4439180</v>
      </c>
      <c r="D47" s="14">
        <v>1748012.9812550824</v>
      </c>
      <c r="E47" s="14">
        <v>471887</v>
      </c>
      <c r="F47" s="15">
        <f>F68+F87</f>
        <v>481245</v>
      </c>
    </row>
    <row r="48" spans="2:6" x14ac:dyDescent="0.35">
      <c r="B48" s="4" t="s">
        <v>50</v>
      </c>
      <c r="C48" s="14">
        <v>99680103</v>
      </c>
      <c r="D48" s="14">
        <v>104913929</v>
      </c>
      <c r="E48" s="14">
        <v>108561043.3</v>
      </c>
      <c r="F48" s="15">
        <f>F69+F88</f>
        <v>108724957</v>
      </c>
    </row>
    <row r="49" spans="2:6" x14ac:dyDescent="0.35">
      <c r="B49" s="4" t="s">
        <v>39</v>
      </c>
      <c r="C49" s="14">
        <v>46943053</v>
      </c>
      <c r="D49" s="14">
        <v>50458336.399999999</v>
      </c>
      <c r="E49" s="14">
        <v>46810633.254397795</v>
      </c>
      <c r="F49" s="14">
        <v>46637729</v>
      </c>
    </row>
    <row r="50" spans="2:6" x14ac:dyDescent="0.35">
      <c r="B50" s="4" t="s">
        <v>40</v>
      </c>
      <c r="C50" s="14">
        <v>293419</v>
      </c>
      <c r="D50" s="14">
        <v>698466.70474491781</v>
      </c>
      <c r="E50" s="14">
        <v>263829.5</v>
      </c>
      <c r="F50" s="15">
        <f>F71+F90</f>
        <v>61160</v>
      </c>
    </row>
    <row r="51" spans="2:6" x14ac:dyDescent="0.35">
      <c r="B51" s="4" t="s">
        <v>48</v>
      </c>
      <c r="C51" s="14">
        <v>15232598</v>
      </c>
      <c r="D51" s="14">
        <v>15199596.131453399</v>
      </c>
      <c r="E51" s="14">
        <v>19798628.656131901</v>
      </c>
      <c r="F51" s="15">
        <f>F72+F91</f>
        <v>29290720</v>
      </c>
    </row>
    <row r="52" spans="2:6" x14ac:dyDescent="0.35">
      <c r="B52" s="4" t="s">
        <v>42</v>
      </c>
      <c r="C52" s="14">
        <v>54679068</v>
      </c>
      <c r="D52" s="14">
        <v>59813689.872913711</v>
      </c>
      <c r="E52" s="14">
        <v>62831946.746356398</v>
      </c>
      <c r="F52" s="15">
        <v>71092960</v>
      </c>
    </row>
    <row r="53" spans="2:6" x14ac:dyDescent="0.35">
      <c r="B53" s="4" t="s">
        <v>43</v>
      </c>
      <c r="C53" s="14">
        <v>21259</v>
      </c>
      <c r="D53" s="14">
        <v>22376</v>
      </c>
      <c r="E53" s="14">
        <v>20656</v>
      </c>
      <c r="F53" s="15">
        <f>F73</f>
        <v>20656</v>
      </c>
    </row>
    <row r="54" spans="2:6" x14ac:dyDescent="0.35">
      <c r="B54" s="4" t="s">
        <v>55</v>
      </c>
      <c r="C54" s="14">
        <v>0</v>
      </c>
      <c r="D54" s="14">
        <v>0</v>
      </c>
      <c r="E54" s="14">
        <v>365</v>
      </c>
      <c r="F54" s="15">
        <v>15758</v>
      </c>
    </row>
    <row r="55" spans="2:6" x14ac:dyDescent="0.35">
      <c r="B55" s="4" t="s">
        <v>44</v>
      </c>
      <c r="C55" s="14">
        <v>221288680</v>
      </c>
      <c r="D55" s="14">
        <v>232854407.09036711</v>
      </c>
      <c r="E55" s="14">
        <v>238758989.45688608</v>
      </c>
      <c r="F55" s="15">
        <f>SUM(F47:F54)</f>
        <v>256325185</v>
      </c>
    </row>
    <row r="56" spans="2:6" x14ac:dyDescent="0.35">
      <c r="B56" s="4"/>
      <c r="C56" s="4"/>
      <c r="D56" s="4"/>
      <c r="E56" s="4"/>
      <c r="F56" s="4"/>
    </row>
    <row r="57" spans="2:6" x14ac:dyDescent="0.35">
      <c r="B57" s="20" t="s">
        <v>94</v>
      </c>
      <c r="C57" s="20"/>
      <c r="D57" s="20"/>
      <c r="E57" s="20"/>
      <c r="F57" s="20"/>
    </row>
    <row r="58" spans="2:6" x14ac:dyDescent="0.35">
      <c r="B58" s="4" t="s">
        <v>37</v>
      </c>
      <c r="C58" s="17">
        <v>2.01E-2</v>
      </c>
      <c r="D58" s="17">
        <v>7.506892410143246E-3</v>
      </c>
      <c r="E58" s="17">
        <v>0.01</v>
      </c>
      <c r="F58" s="17">
        <f>F47/F55</f>
        <v>1.8774784069696467E-3</v>
      </c>
    </row>
    <row r="59" spans="2:6" x14ac:dyDescent="0.35">
      <c r="B59" s="4" t="s">
        <v>50</v>
      </c>
      <c r="C59" s="17">
        <v>0.45050000000000001</v>
      </c>
      <c r="D59" s="17">
        <v>0.45055590877987789</v>
      </c>
      <c r="E59" s="17">
        <v>0.4546888205003205</v>
      </c>
      <c r="F59" s="17">
        <f>F48/F55</f>
        <v>0.42416806214340586</v>
      </c>
    </row>
    <row r="60" spans="2:6" x14ac:dyDescent="0.35">
      <c r="B60" s="4" t="s">
        <v>39</v>
      </c>
      <c r="C60" s="17">
        <v>0.21210000000000001</v>
      </c>
      <c r="D60" s="17">
        <v>0.21669478808884179</v>
      </c>
      <c r="E60" s="17">
        <v>0.19605809758568538</v>
      </c>
      <c r="F60" s="17">
        <f>F49/F55</f>
        <v>0.18194750937173809</v>
      </c>
    </row>
    <row r="61" spans="2:6" x14ac:dyDescent="0.35">
      <c r="B61" s="4" t="s">
        <v>40</v>
      </c>
      <c r="C61" s="17">
        <v>1.2999999999999999E-3</v>
      </c>
      <c r="D61" s="17">
        <v>2.9995855069809949E-3</v>
      </c>
      <c r="E61" s="17">
        <v>1.105003420395365E-3</v>
      </c>
      <c r="F61" s="17">
        <f>F50/F55</f>
        <v>2.38603163399648E-4</v>
      </c>
    </row>
    <row r="62" spans="2:6" x14ac:dyDescent="0.35">
      <c r="B62" s="4" t="s">
        <v>48</v>
      </c>
      <c r="C62" s="17">
        <v>6.88E-2</v>
      </c>
      <c r="D62" s="17">
        <v>6.5275106111926301E-2</v>
      </c>
      <c r="E62" s="17">
        <v>8.2923071090092046E-2</v>
      </c>
      <c r="F62" s="17">
        <f>F51/F55</f>
        <v>0.11427172090015267</v>
      </c>
    </row>
    <row r="63" spans="2:6" x14ac:dyDescent="0.35">
      <c r="B63" s="4" t="s">
        <v>42</v>
      </c>
      <c r="C63" s="17">
        <v>0.24709999999999999</v>
      </c>
      <c r="D63" s="17">
        <v>0.25687162472171277</v>
      </c>
      <c r="E63" s="17">
        <v>0.26316054900920194</v>
      </c>
      <c r="F63" s="17">
        <f>F52/F55</f>
        <v>0.27735456428130539</v>
      </c>
    </row>
    <row r="64" spans="2:6" x14ac:dyDescent="0.35">
      <c r="B64" s="4" t="s">
        <v>43</v>
      </c>
      <c r="C64" s="17">
        <v>1E-4</v>
      </c>
      <c r="D64" s="17">
        <v>9.6094380516990725E-5</v>
      </c>
      <c r="E64" s="17">
        <v>8.6514020045850293E-5</v>
      </c>
      <c r="F64" s="17">
        <f>F53/F55</f>
        <v>8.0585136415682287E-5</v>
      </c>
    </row>
    <row r="65" spans="2:6" x14ac:dyDescent="0.35">
      <c r="B65" s="4" t="s">
        <v>55</v>
      </c>
      <c r="C65" s="17">
        <v>0</v>
      </c>
      <c r="D65" s="17">
        <v>0</v>
      </c>
      <c r="E65" s="17">
        <v>1.52873825119749E-6</v>
      </c>
      <c r="F65" s="17">
        <f>F54/F55</f>
        <v>6.1476596613009368E-5</v>
      </c>
    </row>
    <row r="66" spans="2:6" x14ac:dyDescent="0.35">
      <c r="B66" s="4"/>
      <c r="C66" s="4"/>
      <c r="D66" s="4"/>
      <c r="E66" s="4"/>
      <c r="F66" s="4"/>
    </row>
    <row r="67" spans="2:6" x14ac:dyDescent="0.35">
      <c r="B67" s="20" t="s">
        <v>56</v>
      </c>
      <c r="C67" s="20"/>
      <c r="D67" s="20"/>
      <c r="E67" s="20"/>
      <c r="F67" s="20"/>
    </row>
    <row r="68" spans="2:6" x14ac:dyDescent="0.35">
      <c r="B68" s="4" t="s">
        <v>57</v>
      </c>
      <c r="C68" s="14">
        <v>2674649</v>
      </c>
      <c r="D68" s="14">
        <v>1748012.9812550824</v>
      </c>
      <c r="E68" s="14">
        <v>471887</v>
      </c>
      <c r="F68" s="15">
        <v>481245</v>
      </c>
    </row>
    <row r="69" spans="2:6" x14ac:dyDescent="0.35">
      <c r="B69" s="4" t="s">
        <v>50</v>
      </c>
      <c r="C69" s="14">
        <v>90735748</v>
      </c>
      <c r="D69" s="14">
        <v>101267281</v>
      </c>
      <c r="E69" s="14">
        <v>104487025</v>
      </c>
      <c r="F69" s="15">
        <v>104334514</v>
      </c>
    </row>
    <row r="70" spans="2:6" x14ac:dyDescent="0.35">
      <c r="B70" s="4" t="s">
        <v>39</v>
      </c>
      <c r="C70" s="14">
        <v>28337519</v>
      </c>
      <c r="D70" s="14">
        <v>29518334</v>
      </c>
      <c r="E70" s="14">
        <v>28766708</v>
      </c>
      <c r="F70" s="15">
        <v>28008547</v>
      </c>
    </row>
    <row r="71" spans="2:6" x14ac:dyDescent="0.35">
      <c r="B71" s="4" t="s">
        <v>40</v>
      </c>
      <c r="C71" s="14">
        <v>169190</v>
      </c>
      <c r="D71" s="14">
        <v>237439.35874491779</v>
      </c>
      <c r="E71" s="14">
        <v>218684</v>
      </c>
      <c r="F71" s="15">
        <v>13075</v>
      </c>
    </row>
    <row r="72" spans="2:6" x14ac:dyDescent="0.35">
      <c r="B72" s="4" t="s">
        <v>48</v>
      </c>
      <c r="C72" s="14">
        <v>5717392</v>
      </c>
      <c r="D72" s="14">
        <v>7425916.8000000007</v>
      </c>
      <c r="E72" s="14">
        <v>9253650</v>
      </c>
      <c r="F72" s="15">
        <v>12452218</v>
      </c>
    </row>
    <row r="73" spans="2:6" x14ac:dyDescent="0.35">
      <c r="B73" s="4" t="s">
        <v>47</v>
      </c>
      <c r="C73" s="14" t="s">
        <v>58</v>
      </c>
      <c r="D73" s="14">
        <v>22376</v>
      </c>
      <c r="E73" s="14">
        <v>20656</v>
      </c>
      <c r="F73" s="15">
        <v>20656</v>
      </c>
    </row>
    <row r="74" spans="2:6" x14ac:dyDescent="0.35">
      <c r="B74" s="4" t="s">
        <v>55</v>
      </c>
      <c r="C74" s="14">
        <v>0</v>
      </c>
      <c r="D74" s="14">
        <v>0</v>
      </c>
      <c r="E74" s="14">
        <v>365</v>
      </c>
      <c r="F74" s="15">
        <v>15758</v>
      </c>
    </row>
    <row r="75" spans="2:6" x14ac:dyDescent="0.35">
      <c r="B75" s="4" t="s">
        <v>44</v>
      </c>
      <c r="C75" s="14">
        <v>127634498</v>
      </c>
      <c r="D75" s="14">
        <v>140196984.14000002</v>
      </c>
      <c r="E75" s="14">
        <v>143218975</v>
      </c>
      <c r="F75" s="15">
        <v>145463683</v>
      </c>
    </row>
    <row r="76" spans="2:6" x14ac:dyDescent="0.35">
      <c r="B76" s="4"/>
      <c r="C76" s="4"/>
      <c r="D76" s="4"/>
      <c r="E76" s="4"/>
      <c r="F76" s="4"/>
    </row>
    <row r="77" spans="2:6" x14ac:dyDescent="0.35">
      <c r="B77" s="20" t="s">
        <v>95</v>
      </c>
      <c r="C77" s="20"/>
      <c r="D77" s="20"/>
      <c r="E77" s="20"/>
      <c r="F77" s="20"/>
    </row>
    <row r="78" spans="2:6" x14ac:dyDescent="0.35">
      <c r="B78" s="4" t="s">
        <v>57</v>
      </c>
      <c r="C78" s="17">
        <v>1.9077792695805132E-2</v>
      </c>
      <c r="D78" s="17">
        <v>1.2468263793103604E-2</v>
      </c>
      <c r="E78" s="17">
        <v>0</v>
      </c>
      <c r="F78" s="18">
        <f>F68/F75</f>
        <v>3.3083515422883936E-3</v>
      </c>
    </row>
    <row r="79" spans="2:6" x14ac:dyDescent="0.35">
      <c r="B79" s="4" t="s">
        <v>50</v>
      </c>
      <c r="C79" s="17">
        <v>0.6472018535676326</v>
      </c>
      <c r="D79" s="17">
        <v>0.72232139386732452</v>
      </c>
      <c r="E79" s="17">
        <v>0.7295613238399451</v>
      </c>
      <c r="F79" s="18">
        <f>F69/F75</f>
        <v>0.71725472535986867</v>
      </c>
    </row>
    <row r="80" spans="2:6" x14ac:dyDescent="0.35">
      <c r="B80" s="4" t="s">
        <v>39</v>
      </c>
      <c r="C80" s="17">
        <v>0.20212645210472069</v>
      </c>
      <c r="D80" s="17">
        <v>0.21054899419607442</v>
      </c>
      <c r="E80" s="17">
        <v>0.20085821728580308</v>
      </c>
      <c r="F80" s="18">
        <f>F70/F75</f>
        <v>0.19254666472318041</v>
      </c>
    </row>
    <row r="81" spans="2:6" x14ac:dyDescent="0.35">
      <c r="B81" s="4" t="s">
        <v>40</v>
      </c>
      <c r="C81" s="17">
        <v>1.2068019939077128E-3</v>
      </c>
      <c r="D81" s="17">
        <v>1.6936124567973017E-3</v>
      </c>
      <c r="E81" s="17">
        <v>1.5269205773885757E-3</v>
      </c>
      <c r="F81" s="18">
        <f>F71/F75</f>
        <v>8.9884978369480722E-5</v>
      </c>
    </row>
    <row r="82" spans="2:6" x14ac:dyDescent="0.35">
      <c r="B82" s="4" t="s">
        <v>47</v>
      </c>
      <c r="C82" s="17">
        <v>0</v>
      </c>
      <c r="D82" s="17">
        <v>0</v>
      </c>
      <c r="E82" s="17">
        <v>0</v>
      </c>
      <c r="F82" s="18">
        <f>F73/F75</f>
        <v>1.420010794034412E-4</v>
      </c>
    </row>
    <row r="83" spans="2:6" x14ac:dyDescent="0.35">
      <c r="B83" s="4" t="s">
        <v>48</v>
      </c>
      <c r="C83" s="17">
        <v>4.0781134024185858E-2</v>
      </c>
      <c r="D83" s="17">
        <v>5.296773568670006E-2</v>
      </c>
      <c r="E83" s="17">
        <v>6.4611899365988337E-2</v>
      </c>
      <c r="F83" s="18">
        <f>F72/F75</f>
        <v>8.5603621077021672E-2</v>
      </c>
    </row>
    <row r="84" spans="2:6" x14ac:dyDescent="0.35">
      <c r="B84" s="4" t="s">
        <v>55</v>
      </c>
      <c r="C84" s="17">
        <v>0</v>
      </c>
      <c r="D84" s="17">
        <v>0</v>
      </c>
      <c r="E84" s="17">
        <v>1.4422669901107728E-4</v>
      </c>
      <c r="F84" s="18">
        <f>F74/F75</f>
        <v>1.0832944467657952E-4</v>
      </c>
    </row>
    <row r="85" spans="2:6" x14ac:dyDescent="0.35">
      <c r="B85" s="4"/>
      <c r="C85" s="4"/>
      <c r="D85" s="4"/>
      <c r="E85" s="4"/>
      <c r="F85" s="4"/>
    </row>
    <row r="86" spans="2:6" x14ac:dyDescent="0.35">
      <c r="B86" s="20" t="s">
        <v>59</v>
      </c>
      <c r="C86" s="20"/>
      <c r="D86" s="20"/>
      <c r="E86" s="20"/>
      <c r="F86" s="20"/>
    </row>
    <row r="87" spans="2:6" x14ac:dyDescent="0.35">
      <c r="B87" s="4" t="s">
        <v>57</v>
      </c>
      <c r="C87" s="14">
        <v>0</v>
      </c>
      <c r="D87" s="14">
        <v>0</v>
      </c>
      <c r="E87" s="14">
        <v>0</v>
      </c>
      <c r="F87" s="14">
        <v>0</v>
      </c>
    </row>
    <row r="88" spans="2:6" x14ac:dyDescent="0.35">
      <c r="B88" s="4" t="s">
        <v>60</v>
      </c>
      <c r="C88" s="14">
        <v>2596396</v>
      </c>
      <c r="D88" s="14">
        <v>3646648</v>
      </c>
      <c r="E88" s="14">
        <v>4074018.3</v>
      </c>
      <c r="F88" s="14">
        <v>4390443</v>
      </c>
    </row>
    <row r="89" spans="2:6" x14ac:dyDescent="0.35">
      <c r="B89" s="4" t="s">
        <v>61</v>
      </c>
      <c r="C89" s="14">
        <v>18605534</v>
      </c>
      <c r="D89" s="14">
        <v>20940002.399999999</v>
      </c>
      <c r="E89" s="14">
        <v>18043925.254397798</v>
      </c>
      <c r="F89" s="14">
        <v>18629182</v>
      </c>
    </row>
    <row r="90" spans="2:6" x14ac:dyDescent="0.35">
      <c r="B90" s="4" t="s">
        <v>62</v>
      </c>
      <c r="C90" s="14">
        <v>124111</v>
      </c>
      <c r="D90" s="14">
        <v>461027.34600000002</v>
      </c>
      <c r="E90" s="14">
        <v>45145.5</v>
      </c>
      <c r="F90" s="14">
        <v>48085</v>
      </c>
    </row>
    <row r="91" spans="2:6" x14ac:dyDescent="0.35">
      <c r="B91" s="4" t="s">
        <v>48</v>
      </c>
      <c r="C91" s="14">
        <v>6643735</v>
      </c>
      <c r="D91" s="14">
        <v>7773679.3314533988</v>
      </c>
      <c r="E91" s="14">
        <v>10544978.656131901</v>
      </c>
      <c r="F91" s="15">
        <v>16838502</v>
      </c>
    </row>
    <row r="92" spans="2:6" x14ac:dyDescent="0.35">
      <c r="B92" s="4" t="s">
        <v>42</v>
      </c>
      <c r="C92" s="14">
        <v>54679068</v>
      </c>
      <c r="D92" s="14">
        <v>59813689.872913711</v>
      </c>
      <c r="E92" s="14">
        <v>62831946.746356398</v>
      </c>
      <c r="F92" s="15">
        <v>71092960</v>
      </c>
    </row>
    <row r="93" spans="2:6" x14ac:dyDescent="0.35">
      <c r="B93" s="4" t="s">
        <v>63</v>
      </c>
      <c r="C93" s="14">
        <v>82648844</v>
      </c>
      <c r="D93" s="14">
        <v>92635046.950367108</v>
      </c>
      <c r="E93" s="14">
        <v>95540014.456886098</v>
      </c>
      <c r="F93" s="15">
        <v>110999171</v>
      </c>
    </row>
    <row r="94" spans="2:6" x14ac:dyDescent="0.35">
      <c r="B94" s="4"/>
      <c r="C94" s="4"/>
      <c r="D94" s="4"/>
      <c r="E94" s="4"/>
      <c r="F94" s="4"/>
    </row>
    <row r="95" spans="2:6" x14ac:dyDescent="0.35">
      <c r="B95" s="20" t="s">
        <v>64</v>
      </c>
      <c r="C95" s="20"/>
      <c r="D95" s="20"/>
      <c r="E95" s="20"/>
      <c r="F95" s="20"/>
    </row>
    <row r="96" spans="2:6" x14ac:dyDescent="0.35">
      <c r="B96" s="4" t="s">
        <v>57</v>
      </c>
      <c r="C96" s="17">
        <v>0</v>
      </c>
      <c r="D96" s="17">
        <v>0</v>
      </c>
      <c r="E96" s="17">
        <v>0</v>
      </c>
      <c r="F96" s="18">
        <v>0</v>
      </c>
    </row>
    <row r="97" spans="2:6" x14ac:dyDescent="0.35">
      <c r="B97" s="4" t="s">
        <v>50</v>
      </c>
      <c r="C97" s="17">
        <v>3.1399999999999997E-2</v>
      </c>
      <c r="D97" s="17">
        <v>3.9365748926039147E-2</v>
      </c>
      <c r="E97" s="17">
        <v>4.2642010503760847E-2</v>
      </c>
      <c r="F97" s="17">
        <f>F88/F93</f>
        <v>3.9553835947117116E-2</v>
      </c>
    </row>
    <row r="98" spans="2:6" x14ac:dyDescent="0.35">
      <c r="B98" s="4" t="s">
        <v>61</v>
      </c>
      <c r="C98" s="17">
        <v>0.22509999999999999</v>
      </c>
      <c r="D98" s="17">
        <v>0.23</v>
      </c>
      <c r="E98" s="17">
        <v>0.18886249240144712</v>
      </c>
      <c r="F98" s="17">
        <f>F89/F93</f>
        <v>0.16783172191439161</v>
      </c>
    </row>
    <row r="99" spans="2:6" x14ac:dyDescent="0.35">
      <c r="B99" s="4" t="s">
        <v>40</v>
      </c>
      <c r="C99" s="17">
        <v>1.5E-3</v>
      </c>
      <c r="D99" s="17">
        <v>0</v>
      </c>
      <c r="E99" s="17">
        <v>4.7252975893543123E-4</v>
      </c>
      <c r="F99" s="17">
        <f>F90/F93</f>
        <v>4.3320143354944518E-4</v>
      </c>
    </row>
    <row r="100" spans="2:6" x14ac:dyDescent="0.35">
      <c r="B100" s="4" t="s">
        <v>48</v>
      </c>
      <c r="C100" s="17">
        <v>8.0399999999999999E-2</v>
      </c>
      <c r="D100" s="17">
        <v>8.3917260123141671E-2</v>
      </c>
      <c r="E100" s="17">
        <v>0.11037237869469325</v>
      </c>
      <c r="F100" s="17">
        <f>F91/F93</f>
        <v>0.15169934917802225</v>
      </c>
    </row>
    <row r="101" spans="2:6" x14ac:dyDescent="0.35">
      <c r="B101" s="4" t="s">
        <v>42</v>
      </c>
      <c r="C101" s="17">
        <v>0.66159999999999997</v>
      </c>
      <c r="D101" s="17">
        <v>0.64569179637768481</v>
      </c>
      <c r="E101" s="17">
        <v>0.65765058864116333</v>
      </c>
      <c r="F101" s="17">
        <f>F92/F93</f>
        <v>0.64048190053599585</v>
      </c>
    </row>
    <row r="102" spans="2:6" x14ac:dyDescent="0.35">
      <c r="B102" s="4"/>
      <c r="C102" s="4"/>
      <c r="D102" s="4"/>
      <c r="E102" s="4"/>
      <c r="F102" s="4"/>
    </row>
    <row r="103" spans="2:6" x14ac:dyDescent="0.35">
      <c r="B103" s="20" t="s">
        <v>65</v>
      </c>
      <c r="C103" s="20"/>
      <c r="D103" s="20"/>
      <c r="E103" s="20"/>
      <c r="F103" s="20"/>
    </row>
    <row r="104" spans="2:6" x14ac:dyDescent="0.35">
      <c r="B104" s="4" t="s">
        <v>57</v>
      </c>
      <c r="C104" s="14">
        <v>1764532</v>
      </c>
      <c r="D104" s="14" t="s">
        <v>53</v>
      </c>
      <c r="E104" s="14" t="s">
        <v>53</v>
      </c>
      <c r="F104" s="14" t="s">
        <v>53</v>
      </c>
    </row>
    <row r="105" spans="2:6" x14ac:dyDescent="0.35">
      <c r="B105" s="4" t="s">
        <v>50</v>
      </c>
      <c r="C105" s="14">
        <v>6347959</v>
      </c>
      <c r="D105" s="14" t="s">
        <v>53</v>
      </c>
      <c r="E105" s="14" t="s">
        <v>53</v>
      </c>
      <c r="F105" s="14" t="s">
        <v>53</v>
      </c>
    </row>
    <row r="106" spans="2:6" x14ac:dyDescent="0.35">
      <c r="B106" s="4" t="s">
        <v>40</v>
      </c>
      <c r="C106" s="14">
        <v>118</v>
      </c>
      <c r="D106" s="14" t="s">
        <v>53</v>
      </c>
      <c r="E106" s="14" t="s">
        <v>53</v>
      </c>
      <c r="F106" s="14" t="s">
        <v>53</v>
      </c>
    </row>
    <row r="107" spans="2:6" x14ac:dyDescent="0.35">
      <c r="B107" s="4" t="s">
        <v>48</v>
      </c>
      <c r="C107" s="14">
        <v>161942</v>
      </c>
      <c r="D107" s="14" t="s">
        <v>53</v>
      </c>
      <c r="E107" s="14" t="s">
        <v>53</v>
      </c>
      <c r="F107" s="14" t="s">
        <v>53</v>
      </c>
    </row>
    <row r="108" spans="2:6" x14ac:dyDescent="0.35">
      <c r="B108" s="4" t="s">
        <v>43</v>
      </c>
      <c r="C108" s="14">
        <v>21259</v>
      </c>
      <c r="D108" s="14" t="s">
        <v>53</v>
      </c>
      <c r="E108" s="14" t="s">
        <v>53</v>
      </c>
      <c r="F108" s="14" t="s">
        <v>53</v>
      </c>
    </row>
    <row r="109" spans="2:6" x14ac:dyDescent="0.35">
      <c r="B109" s="4" t="s">
        <v>44</v>
      </c>
      <c r="C109" s="14">
        <v>8295810</v>
      </c>
      <c r="D109" s="14" t="s">
        <v>53</v>
      </c>
      <c r="E109" s="14" t="s">
        <v>53</v>
      </c>
      <c r="F109" s="14" t="s">
        <v>53</v>
      </c>
    </row>
    <row r="110" spans="2:6" x14ac:dyDescent="0.35">
      <c r="B110" s="4"/>
      <c r="C110" s="4"/>
      <c r="D110" s="4"/>
      <c r="E110" s="4"/>
      <c r="F110" s="4"/>
    </row>
    <row r="111" spans="2:6" x14ac:dyDescent="0.35">
      <c r="B111" s="20" t="s">
        <v>66</v>
      </c>
      <c r="C111" s="20"/>
      <c r="D111" s="20"/>
      <c r="E111" s="20"/>
      <c r="F111" s="20"/>
    </row>
    <row r="112" spans="2:6" x14ac:dyDescent="0.35">
      <c r="B112" s="4" t="s">
        <v>57</v>
      </c>
      <c r="C112" s="17">
        <v>0.21270159273175254</v>
      </c>
      <c r="D112" s="17" t="s">
        <v>53</v>
      </c>
      <c r="E112" s="17" t="s">
        <v>53</v>
      </c>
      <c r="F112" s="17" t="s">
        <v>53</v>
      </c>
    </row>
    <row r="113" spans="2:21" x14ac:dyDescent="0.35">
      <c r="B113" s="4" t="s">
        <v>50</v>
      </c>
      <c r="C113" s="17">
        <v>0.7652006253759428</v>
      </c>
      <c r="D113" s="17" t="s">
        <v>53</v>
      </c>
      <c r="E113" s="17" t="s">
        <v>53</v>
      </c>
      <c r="F113" s="17" t="s">
        <v>53</v>
      </c>
    </row>
    <row r="114" spans="2:21" x14ac:dyDescent="0.35">
      <c r="B114" s="4" t="s">
        <v>40</v>
      </c>
      <c r="C114" s="17">
        <v>1.4224048043530408E-5</v>
      </c>
      <c r="D114" s="17" t="s">
        <v>53</v>
      </c>
      <c r="E114" s="17" t="s">
        <v>53</v>
      </c>
      <c r="F114" s="17" t="s">
        <v>53</v>
      </c>
    </row>
    <row r="115" spans="2:21" x14ac:dyDescent="0.35">
      <c r="B115" s="4" t="s">
        <v>48</v>
      </c>
      <c r="C115" s="17">
        <v>1.9520938883605097E-2</v>
      </c>
      <c r="D115" s="17" t="s">
        <v>53</v>
      </c>
      <c r="E115" s="17" t="s">
        <v>53</v>
      </c>
      <c r="F115" s="17" t="s">
        <v>53</v>
      </c>
    </row>
    <row r="116" spans="2:21" x14ac:dyDescent="0.35">
      <c r="B116" s="4" t="s">
        <v>43</v>
      </c>
      <c r="C116" s="17">
        <v>2.5626189606560421E-3</v>
      </c>
      <c r="D116" s="17" t="s">
        <v>53</v>
      </c>
      <c r="E116" s="17" t="s">
        <v>53</v>
      </c>
      <c r="F116" s="17" t="s">
        <v>53</v>
      </c>
    </row>
    <row r="120" spans="2:21" ht="29" x14ac:dyDescent="0.35">
      <c r="B120" s="1" t="s">
        <v>67</v>
      </c>
    </row>
    <row r="121" spans="2:21" x14ac:dyDescent="0.35">
      <c r="B121" s="1" t="s">
        <v>68</v>
      </c>
    </row>
    <row r="122" spans="2:21" ht="145" x14ac:dyDescent="0.35">
      <c r="B122" s="1" t="s">
        <v>69</v>
      </c>
    </row>
    <row r="123" spans="2:21" ht="58" x14ac:dyDescent="0.35">
      <c r="B123" s="1" t="s">
        <v>70</v>
      </c>
    </row>
    <row r="124" spans="2:21" ht="29" x14ac:dyDescent="0.35">
      <c r="B124" s="1" t="s">
        <v>71</v>
      </c>
    </row>
    <row r="125" spans="2:21" ht="29" x14ac:dyDescent="0.35">
      <c r="B125" s="1" t="s">
        <v>72</v>
      </c>
    </row>
    <row r="126" spans="2:21" ht="43.5" x14ac:dyDescent="0.35">
      <c r="B126" s="1" t="s">
        <v>73</v>
      </c>
    </row>
    <row r="127" spans="2:21" ht="43.5" x14ac:dyDescent="0.35">
      <c r="B127" s="19" t="s">
        <v>93</v>
      </c>
    </row>
    <row r="128" spans="2:21" ht="29" x14ac:dyDescent="0.35">
      <c r="B128" s="1" t="s">
        <v>74</v>
      </c>
      <c r="G128" t="s">
        <v>75</v>
      </c>
      <c r="H128" t="s">
        <v>75</v>
      </c>
      <c r="I128" t="s">
        <v>75</v>
      </c>
      <c r="J128" t="s">
        <v>75</v>
      </c>
      <c r="K128" t="s">
        <v>75</v>
      </c>
      <c r="L128" t="s">
        <v>75</v>
      </c>
      <c r="M128" t="s">
        <v>75</v>
      </c>
      <c r="N128" t="s">
        <v>75</v>
      </c>
      <c r="O128" t="s">
        <v>75</v>
      </c>
      <c r="P128" t="s">
        <v>75</v>
      </c>
      <c r="Q128" t="s">
        <v>75</v>
      </c>
      <c r="R128" t="s">
        <v>75</v>
      </c>
      <c r="S128" t="s">
        <v>75</v>
      </c>
      <c r="T128" t="s">
        <v>75</v>
      </c>
      <c r="U128" t="s">
        <v>75</v>
      </c>
    </row>
    <row r="129" spans="2:21" x14ac:dyDescent="0.35">
      <c r="B129" s="1" t="s">
        <v>76</v>
      </c>
      <c r="C129" t="s">
        <v>75</v>
      </c>
      <c r="D129" t="s">
        <v>75</v>
      </c>
      <c r="E129" t="s">
        <v>75</v>
      </c>
      <c r="F129" t="s">
        <v>75</v>
      </c>
      <c r="G129" t="s">
        <v>75</v>
      </c>
      <c r="H129" t="s">
        <v>75</v>
      </c>
      <c r="I129" t="s">
        <v>75</v>
      </c>
      <c r="J129" t="s">
        <v>75</v>
      </c>
      <c r="K129" t="s">
        <v>75</v>
      </c>
      <c r="L129" t="s">
        <v>75</v>
      </c>
      <c r="M129" t="s">
        <v>75</v>
      </c>
      <c r="N129" t="s">
        <v>75</v>
      </c>
      <c r="O129" t="s">
        <v>75</v>
      </c>
      <c r="P129" t="s">
        <v>75</v>
      </c>
      <c r="Q129" t="s">
        <v>75</v>
      </c>
      <c r="R129" t="s">
        <v>75</v>
      </c>
      <c r="S129" t="s">
        <v>75</v>
      </c>
      <c r="T129" t="s">
        <v>75</v>
      </c>
      <c r="U129" t="s">
        <v>75</v>
      </c>
    </row>
  </sheetData>
  <sheetProtection sheet="1" objects="1" scenarios="1" selectLockedCells="1" selectUnlockedCells="1"/>
  <mergeCells count="12">
    <mergeCell ref="B77:F77"/>
    <mergeCell ref="B86:F86"/>
    <mergeCell ref="B95:F95"/>
    <mergeCell ref="B103:F103"/>
    <mergeCell ref="B111:F111"/>
    <mergeCell ref="B57:F57"/>
    <mergeCell ref="B67:F67"/>
    <mergeCell ref="B11:E11"/>
    <mergeCell ref="B21:E21"/>
    <mergeCell ref="B30:E30"/>
    <mergeCell ref="B38:F38"/>
    <mergeCell ref="B46:F4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FE1F3-BE99-48EF-B7A2-FEECD3B05424}">
  <dimension ref="A1:AR46"/>
  <sheetViews>
    <sheetView showGridLines="0" tabSelected="1" workbookViewId="0">
      <selection activeCell="B9" sqref="B9"/>
    </sheetView>
  </sheetViews>
  <sheetFormatPr defaultColWidth="29.81640625" defaultRowHeight="14.5" x14ac:dyDescent="0.35"/>
  <cols>
    <col min="1" max="1" width="47.1796875" customWidth="1"/>
  </cols>
  <sheetData>
    <row r="1" spans="1:6" x14ac:dyDescent="0.35">
      <c r="A1" s="3" t="s">
        <v>77</v>
      </c>
      <c r="B1" s="3">
        <v>2021</v>
      </c>
      <c r="C1" s="3">
        <v>2022</v>
      </c>
      <c r="D1" s="3">
        <v>2023</v>
      </c>
      <c r="E1" s="3">
        <v>2024</v>
      </c>
      <c r="F1" s="2"/>
    </row>
    <row r="2" spans="1:6" x14ac:dyDescent="0.35">
      <c r="A2" s="4"/>
      <c r="B2" s="4"/>
      <c r="C2" s="4"/>
      <c r="D2" s="4"/>
      <c r="E2" s="4"/>
    </row>
    <row r="3" spans="1:6" x14ac:dyDescent="0.35">
      <c r="A3" s="20" t="s">
        <v>78</v>
      </c>
      <c r="B3" s="20"/>
      <c r="C3" s="20"/>
      <c r="D3" s="20"/>
      <c r="E3" s="20"/>
    </row>
    <row r="4" spans="1:6" x14ac:dyDescent="0.35">
      <c r="A4" s="21" t="s">
        <v>79</v>
      </c>
      <c r="B4" s="21"/>
      <c r="C4" s="21"/>
      <c r="D4" s="21"/>
      <c r="E4" s="21"/>
    </row>
    <row r="5" spans="1:6" x14ac:dyDescent="0.35">
      <c r="A5" s="5" t="s">
        <v>80</v>
      </c>
      <c r="B5" s="6">
        <v>11601.36</v>
      </c>
      <c r="C5" s="6">
        <v>9130.290758000001</v>
      </c>
      <c r="D5" s="6">
        <v>8165</v>
      </c>
      <c r="E5" s="6">
        <v>7262</v>
      </c>
    </row>
    <row r="6" spans="1:6" x14ac:dyDescent="0.35">
      <c r="A6" s="5" t="s">
        <v>81</v>
      </c>
      <c r="B6" s="6">
        <v>926</v>
      </c>
      <c r="C6" s="6">
        <v>1120.2933605200401</v>
      </c>
      <c r="D6" s="6">
        <v>498</v>
      </c>
      <c r="E6" s="6">
        <v>407</v>
      </c>
    </row>
    <row r="7" spans="1:6" x14ac:dyDescent="0.35">
      <c r="A7" s="5" t="s">
        <v>82</v>
      </c>
      <c r="B7" s="6">
        <v>46614994</v>
      </c>
      <c r="C7" s="6">
        <v>45459524.521191679</v>
      </c>
      <c r="D7" s="6">
        <v>45660872</v>
      </c>
      <c r="E7" s="6">
        <v>46945178</v>
      </c>
    </row>
    <row r="8" spans="1:6" x14ac:dyDescent="0.35">
      <c r="A8" s="5" t="s">
        <v>83</v>
      </c>
      <c r="B8" s="6">
        <v>0.11</v>
      </c>
      <c r="C8" s="6">
        <v>7.842166482992359E-2</v>
      </c>
      <c r="D8" s="6">
        <v>6.8000000000000005E-2</v>
      </c>
      <c r="E8" s="6">
        <v>5.7000000000000002E-2</v>
      </c>
    </row>
    <row r="9" spans="1:6" x14ac:dyDescent="0.35">
      <c r="A9" s="5" t="s">
        <v>84</v>
      </c>
      <c r="B9" s="6">
        <v>8.3691582941831533E-3</v>
      </c>
      <c r="C9" s="6">
        <v>9.6223956890871369E-3</v>
      </c>
      <c r="D9" s="6">
        <v>4.0000000000000001E-3</v>
      </c>
      <c r="E9" s="6">
        <v>3.0000000000000001E-3</v>
      </c>
    </row>
    <row r="10" spans="1:6" x14ac:dyDescent="0.35">
      <c r="A10" s="5" t="s">
        <v>85</v>
      </c>
      <c r="B10" s="6">
        <v>427</v>
      </c>
      <c r="C10" s="6">
        <v>390.45981007832717</v>
      </c>
      <c r="D10" s="6">
        <v>382.48500000000001</v>
      </c>
      <c r="E10" s="6">
        <v>366.15</v>
      </c>
    </row>
    <row r="11" spans="1:6" x14ac:dyDescent="0.35">
      <c r="A11" s="5"/>
      <c r="B11" s="4"/>
      <c r="C11" s="4"/>
      <c r="D11" s="4"/>
      <c r="E11" s="4"/>
    </row>
    <row r="12" spans="1:6" x14ac:dyDescent="0.35">
      <c r="A12" s="21" t="s">
        <v>86</v>
      </c>
      <c r="B12" s="21"/>
      <c r="C12" s="21"/>
      <c r="D12" s="21"/>
      <c r="E12" s="21"/>
    </row>
    <row r="13" spans="1:6" x14ac:dyDescent="0.35">
      <c r="A13" s="5" t="s">
        <v>80</v>
      </c>
      <c r="B13" s="6">
        <v>6520</v>
      </c>
      <c r="C13" s="6">
        <v>8657.2255000000005</v>
      </c>
      <c r="D13" s="6">
        <v>7948</v>
      </c>
      <c r="E13" s="6">
        <v>6940</v>
      </c>
    </row>
    <row r="14" spans="1:6" x14ac:dyDescent="0.35">
      <c r="A14" s="5" t="s">
        <v>81</v>
      </c>
      <c r="B14" s="6">
        <v>759</v>
      </c>
      <c r="C14" s="6">
        <v>456.69336052004007</v>
      </c>
      <c r="D14" s="6">
        <v>360</v>
      </c>
      <c r="E14" s="6">
        <v>297</v>
      </c>
    </row>
    <row r="15" spans="1:6" x14ac:dyDescent="0.35">
      <c r="A15" s="5" t="s">
        <v>82</v>
      </c>
      <c r="B15" s="6">
        <v>39964153</v>
      </c>
      <c r="C15" s="6">
        <v>43517886.921191677</v>
      </c>
      <c r="D15" s="6">
        <v>44375915</v>
      </c>
      <c r="E15" s="6">
        <v>45474120</v>
      </c>
    </row>
    <row r="16" spans="1:6" x14ac:dyDescent="0.35">
      <c r="A16" s="5" t="s">
        <v>83</v>
      </c>
      <c r="B16" s="6">
        <v>0.10004294327996283</v>
      </c>
      <c r="C16" s="6">
        <v>0.12351949912111401</v>
      </c>
      <c r="D16" s="6">
        <v>0.111</v>
      </c>
      <c r="E16" s="6">
        <v>9.5000000000000001E-2</v>
      </c>
    </row>
    <row r="17" spans="1:5" x14ac:dyDescent="0.35">
      <c r="A17" s="5" t="s">
        <v>84</v>
      </c>
      <c r="B17" s="6">
        <v>1.1646103366486471E-2</v>
      </c>
      <c r="C17" s="6">
        <v>6.5160062127726367E-3</v>
      </c>
      <c r="D17" s="6">
        <v>5.0000000000000001E-3</v>
      </c>
      <c r="E17" s="6">
        <v>4.0000000000000001E-3</v>
      </c>
    </row>
    <row r="18" spans="1:5" x14ac:dyDescent="0.35">
      <c r="A18" s="5" t="s">
        <v>85</v>
      </c>
      <c r="B18" s="6">
        <v>626</v>
      </c>
      <c r="C18" s="6">
        <v>620.90419099223823</v>
      </c>
      <c r="D18" s="6">
        <v>619.69299999999998</v>
      </c>
      <c r="E18" s="6">
        <v>625.4</v>
      </c>
    </row>
    <row r="19" spans="1:5" x14ac:dyDescent="0.35">
      <c r="A19" s="5"/>
      <c r="B19" s="4"/>
      <c r="C19" s="4"/>
      <c r="D19" s="4"/>
      <c r="E19" s="4"/>
    </row>
    <row r="20" spans="1:5" x14ac:dyDescent="0.35">
      <c r="A20" s="21" t="s">
        <v>87</v>
      </c>
      <c r="B20" s="21"/>
      <c r="C20" s="21"/>
      <c r="D20" s="21"/>
      <c r="E20" s="21"/>
    </row>
    <row r="21" spans="1:5" x14ac:dyDescent="0.35">
      <c r="A21" s="5" t="s">
        <v>80</v>
      </c>
      <c r="B21" s="7">
        <v>179</v>
      </c>
      <c r="C21" s="7">
        <v>473</v>
      </c>
      <c r="D21" s="7">
        <v>217</v>
      </c>
      <c r="E21" s="7">
        <v>323</v>
      </c>
    </row>
    <row r="22" spans="1:5" x14ac:dyDescent="0.35">
      <c r="A22" s="5" t="s">
        <v>81</v>
      </c>
      <c r="B22" s="7">
        <v>33</v>
      </c>
      <c r="C22" s="7">
        <v>664</v>
      </c>
      <c r="D22" s="7">
        <v>138</v>
      </c>
      <c r="E22" s="7">
        <v>110</v>
      </c>
    </row>
    <row r="23" spans="1:5" x14ac:dyDescent="0.35">
      <c r="A23" s="5" t="s">
        <v>82</v>
      </c>
      <c r="B23" s="7">
        <v>1222921</v>
      </c>
      <c r="C23" s="7">
        <v>1941638</v>
      </c>
      <c r="D23" s="7">
        <v>1284957</v>
      </c>
      <c r="E23" s="7">
        <v>1471058</v>
      </c>
    </row>
    <row r="24" spans="1:5" x14ac:dyDescent="0.35">
      <c r="A24" s="5" t="s">
        <v>83</v>
      </c>
      <c r="B24" s="7">
        <v>4.331579035757596E-3</v>
      </c>
      <c r="C24" s="7">
        <v>0.01</v>
      </c>
      <c r="D24" s="7">
        <v>5.0000000000000001E-3</v>
      </c>
      <c r="E24" s="7">
        <v>6.0000000000000001E-3</v>
      </c>
    </row>
    <row r="25" spans="1:5" x14ac:dyDescent="0.35">
      <c r="A25" s="5" t="s">
        <v>84</v>
      </c>
      <c r="B25" s="7">
        <v>7.9855926357542278E-4</v>
      </c>
      <c r="C25" s="7">
        <v>0.01</v>
      </c>
      <c r="D25" s="7">
        <v>3.0000000000000001E-3</v>
      </c>
      <c r="E25" s="7">
        <v>2E-3</v>
      </c>
    </row>
    <row r="26" spans="1:5" x14ac:dyDescent="0.35">
      <c r="A26" s="5" t="s">
        <v>85</v>
      </c>
      <c r="B26" s="7">
        <v>29.593178580936957</v>
      </c>
      <c r="C26" s="7">
        <v>42</v>
      </c>
      <c r="D26" s="7">
        <v>26.899000000000001</v>
      </c>
      <c r="E26" s="7">
        <v>26.51</v>
      </c>
    </row>
    <row r="27" spans="1:5" x14ac:dyDescent="0.35">
      <c r="A27" s="5"/>
      <c r="B27" s="4"/>
      <c r="C27" s="4"/>
      <c r="D27" s="4"/>
      <c r="E27" s="4"/>
    </row>
    <row r="28" spans="1:5" x14ac:dyDescent="0.35">
      <c r="A28" s="21" t="s">
        <v>88</v>
      </c>
      <c r="B28" s="21"/>
      <c r="C28" s="21"/>
      <c r="D28" s="21"/>
      <c r="E28" s="21"/>
    </row>
    <row r="29" spans="1:5" x14ac:dyDescent="0.35">
      <c r="A29" s="5" t="s">
        <v>80</v>
      </c>
      <c r="B29" s="7">
        <v>4903</v>
      </c>
      <c r="C29" s="7" t="s">
        <v>53</v>
      </c>
      <c r="D29" s="7" t="s">
        <v>53</v>
      </c>
      <c r="E29" s="7" t="s">
        <v>53</v>
      </c>
    </row>
    <row r="30" spans="1:5" x14ac:dyDescent="0.35">
      <c r="A30" s="5" t="s">
        <v>81</v>
      </c>
      <c r="B30" s="7">
        <v>135</v>
      </c>
      <c r="C30" s="7" t="s">
        <v>53</v>
      </c>
      <c r="D30" s="7" t="s">
        <v>53</v>
      </c>
      <c r="E30" s="7" t="s">
        <v>53</v>
      </c>
    </row>
    <row r="31" spans="1:5" x14ac:dyDescent="0.35">
      <c r="A31" s="5" t="s">
        <v>82</v>
      </c>
      <c r="B31" s="7">
        <v>5427920</v>
      </c>
      <c r="C31" s="7" t="s">
        <v>53</v>
      </c>
      <c r="D31" s="7" t="s">
        <v>53</v>
      </c>
      <c r="E31" s="7" t="s">
        <v>53</v>
      </c>
    </row>
    <row r="32" spans="1:5" x14ac:dyDescent="0.35">
      <c r="A32" s="5" t="s">
        <v>83</v>
      </c>
      <c r="B32" s="7">
        <v>1.182042500973383</v>
      </c>
      <c r="C32" s="7" t="s">
        <v>53</v>
      </c>
      <c r="D32" s="7" t="s">
        <v>53</v>
      </c>
      <c r="E32" s="7" t="s">
        <v>53</v>
      </c>
    </row>
    <row r="33" spans="1:44" x14ac:dyDescent="0.35">
      <c r="A33" s="5" t="s">
        <v>84</v>
      </c>
      <c r="B33" s="7">
        <v>3.2546550608078054E-2</v>
      </c>
      <c r="C33" s="7" t="s">
        <v>53</v>
      </c>
      <c r="D33" s="7" t="s">
        <v>53</v>
      </c>
      <c r="E33" s="7" t="s">
        <v>53</v>
      </c>
    </row>
    <row r="34" spans="1:44" x14ac:dyDescent="0.35">
      <c r="A34" s="5" t="s">
        <v>85</v>
      </c>
      <c r="B34" s="7">
        <v>1308.5931331599927</v>
      </c>
      <c r="C34" s="7" t="s">
        <v>53</v>
      </c>
      <c r="D34" s="7" t="s">
        <v>53</v>
      </c>
      <c r="E34" s="7" t="s">
        <v>53</v>
      </c>
    </row>
    <row r="37" spans="1:44" ht="58" x14ac:dyDescent="0.35">
      <c r="A37" s="1" t="s">
        <v>89</v>
      </c>
    </row>
    <row r="38" spans="1:44" ht="58" x14ac:dyDescent="0.35">
      <c r="A38" s="1" t="s">
        <v>90</v>
      </c>
    </row>
    <row r="39" spans="1:44" ht="145" x14ac:dyDescent="0.35">
      <c r="A39" s="1" t="s">
        <v>91</v>
      </c>
    </row>
    <row r="42" spans="1:44" x14ac:dyDescent="0.35">
      <c r="AF42" t="s">
        <v>75</v>
      </c>
      <c r="AG42" t="s">
        <v>75</v>
      </c>
      <c r="AH42" t="s">
        <v>75</v>
      </c>
      <c r="AI42" t="s">
        <v>75</v>
      </c>
      <c r="AJ42" t="s">
        <v>75</v>
      </c>
      <c r="AK42" t="s">
        <v>75</v>
      </c>
      <c r="AL42" t="s">
        <v>75</v>
      </c>
      <c r="AM42" t="s">
        <v>75</v>
      </c>
      <c r="AN42" t="s">
        <v>75</v>
      </c>
      <c r="AO42" t="s">
        <v>75</v>
      </c>
      <c r="AP42" t="s">
        <v>75</v>
      </c>
      <c r="AQ42" t="s">
        <v>75</v>
      </c>
      <c r="AR42" t="s">
        <v>75</v>
      </c>
    </row>
    <row r="45" spans="1:44" x14ac:dyDescent="0.35">
      <c r="B45" t="s">
        <v>75</v>
      </c>
      <c r="C45" t="s">
        <v>75</v>
      </c>
      <c r="D45" t="s">
        <v>75</v>
      </c>
      <c r="E45" t="s">
        <v>75</v>
      </c>
      <c r="F45" t="s">
        <v>75</v>
      </c>
      <c r="G45" t="s">
        <v>75</v>
      </c>
      <c r="H45" t="s">
        <v>75</v>
      </c>
      <c r="I45" t="s">
        <v>75</v>
      </c>
      <c r="J45" t="s">
        <v>75</v>
      </c>
      <c r="K45" t="s">
        <v>75</v>
      </c>
      <c r="L45" t="s">
        <v>75</v>
      </c>
      <c r="M45" t="s">
        <v>75</v>
      </c>
      <c r="N45" t="s">
        <v>75</v>
      </c>
      <c r="O45" t="s">
        <v>75</v>
      </c>
      <c r="P45" t="s">
        <v>75</v>
      </c>
      <c r="Q45" t="s">
        <v>75</v>
      </c>
      <c r="R45" t="s">
        <v>75</v>
      </c>
      <c r="S45" t="s">
        <v>75</v>
      </c>
      <c r="T45" t="s">
        <v>75</v>
      </c>
      <c r="U45" t="s">
        <v>75</v>
      </c>
      <c r="V45" t="s">
        <v>75</v>
      </c>
      <c r="W45" t="s">
        <v>75</v>
      </c>
      <c r="X45" t="s">
        <v>75</v>
      </c>
      <c r="Y45" t="s">
        <v>75</v>
      </c>
      <c r="Z45" t="s">
        <v>75</v>
      </c>
      <c r="AA45" t="s">
        <v>75</v>
      </c>
      <c r="AB45" t="s">
        <v>75</v>
      </c>
      <c r="AC45" t="s">
        <v>75</v>
      </c>
      <c r="AD45" t="s">
        <v>75</v>
      </c>
      <c r="AE45" t="s">
        <v>75</v>
      </c>
      <c r="AF45" t="s">
        <v>75</v>
      </c>
      <c r="AG45" t="s">
        <v>75</v>
      </c>
      <c r="AH45" t="s">
        <v>75</v>
      </c>
      <c r="AI45" t="s">
        <v>75</v>
      </c>
      <c r="AJ45" t="s">
        <v>75</v>
      </c>
      <c r="AK45" t="s">
        <v>75</v>
      </c>
      <c r="AL45" t="s">
        <v>75</v>
      </c>
      <c r="AM45" t="s">
        <v>75</v>
      </c>
      <c r="AN45" t="s">
        <v>75</v>
      </c>
      <c r="AO45" t="s">
        <v>75</v>
      </c>
      <c r="AP45" t="s">
        <v>75</v>
      </c>
      <c r="AQ45" t="s">
        <v>75</v>
      </c>
      <c r="AR45" t="s">
        <v>75</v>
      </c>
    </row>
    <row r="46" spans="1:44" x14ac:dyDescent="0.35">
      <c r="B46" t="s">
        <v>75</v>
      </c>
      <c r="C46" t="s">
        <v>75</v>
      </c>
      <c r="D46" t="s">
        <v>75</v>
      </c>
      <c r="E46" t="s">
        <v>75</v>
      </c>
      <c r="F46" t="s">
        <v>75</v>
      </c>
      <c r="G46" t="s">
        <v>75</v>
      </c>
      <c r="H46" t="s">
        <v>75</v>
      </c>
      <c r="I46" t="s">
        <v>75</v>
      </c>
      <c r="J46" t="s">
        <v>75</v>
      </c>
      <c r="K46" t="s">
        <v>75</v>
      </c>
      <c r="L46" t="s">
        <v>75</v>
      </c>
      <c r="M46" t="s">
        <v>75</v>
      </c>
      <c r="N46" t="s">
        <v>75</v>
      </c>
      <c r="O46" t="s">
        <v>75</v>
      </c>
      <c r="P46" t="s">
        <v>75</v>
      </c>
      <c r="Q46" t="s">
        <v>75</v>
      </c>
      <c r="R46" t="s">
        <v>75</v>
      </c>
      <c r="S46" t="s">
        <v>75</v>
      </c>
      <c r="T46" t="s">
        <v>75</v>
      </c>
      <c r="U46" t="s">
        <v>75</v>
      </c>
      <c r="V46" t="s">
        <v>75</v>
      </c>
      <c r="W46" t="s">
        <v>75</v>
      </c>
      <c r="X46" t="s">
        <v>75</v>
      </c>
      <c r="Y46" t="s">
        <v>75</v>
      </c>
      <c r="Z46" t="s">
        <v>75</v>
      </c>
      <c r="AA46" t="s">
        <v>75</v>
      </c>
      <c r="AB46" t="s">
        <v>75</v>
      </c>
      <c r="AC46" t="s">
        <v>75</v>
      </c>
      <c r="AD46" t="s">
        <v>75</v>
      </c>
      <c r="AE46" t="s">
        <v>75</v>
      </c>
      <c r="AF46" t="s">
        <v>75</v>
      </c>
      <c r="AG46" t="s">
        <v>75</v>
      </c>
      <c r="AH46" t="s">
        <v>75</v>
      </c>
      <c r="AI46" t="s">
        <v>75</v>
      </c>
      <c r="AJ46" t="s">
        <v>75</v>
      </c>
      <c r="AK46" t="s">
        <v>75</v>
      </c>
      <c r="AL46" t="s">
        <v>75</v>
      </c>
      <c r="AM46" t="s">
        <v>75</v>
      </c>
      <c r="AN46" t="s">
        <v>75</v>
      </c>
      <c r="AO46" t="s">
        <v>75</v>
      </c>
      <c r="AP46" t="s">
        <v>75</v>
      </c>
      <c r="AQ46" t="s">
        <v>75</v>
      </c>
      <c r="AR46" t="s">
        <v>75</v>
      </c>
    </row>
  </sheetData>
  <sheetProtection sheet="1" objects="1" scenarios="1" selectLockedCells="1" selectUnlockedCells="1"/>
  <mergeCells count="5">
    <mergeCell ref="A3:E3"/>
    <mergeCell ref="A4:E4"/>
    <mergeCell ref="A12:E12"/>
    <mergeCell ref="A20:E20"/>
    <mergeCell ref="A28:E2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29e94fa-c04b-439f-b149-89e3d7a23f76">
      <Terms xmlns="http://schemas.microsoft.com/office/infopath/2007/PartnerControls"/>
    </lcf76f155ced4ddcb4097134ff3c332f>
    <TaxCatchAll xmlns="7ece7523-39e3-431b-b1e1-c571455ed1a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C5A901DABBC824BBEBABEBDFE737319" ma:contentTypeVersion="15" ma:contentTypeDescription="Create a new document." ma:contentTypeScope="" ma:versionID="b160dabff4b9104d9595ef6a441f9df7">
  <xsd:schema xmlns:xsd="http://www.w3.org/2001/XMLSchema" xmlns:xs="http://www.w3.org/2001/XMLSchema" xmlns:p="http://schemas.microsoft.com/office/2006/metadata/properties" xmlns:ns2="729e94fa-c04b-439f-b149-89e3d7a23f76" xmlns:ns3="7ece7523-39e3-431b-b1e1-c571455ed1a7" targetNamespace="http://schemas.microsoft.com/office/2006/metadata/properties" ma:root="true" ma:fieldsID="d30ac9139d90cd86ed2f314ab06aed05" ns2:_="" ns3:_="">
    <xsd:import namespace="729e94fa-c04b-439f-b149-89e3d7a23f76"/>
    <xsd:import namespace="7ece7523-39e3-431b-b1e1-c571455ed1a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e94fa-c04b-439f-b149-89e3d7a23f7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bc379444-718f-4044-93bd-bdc834bc632d"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ece7523-39e3-431b-b1e1-c571455ed1a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676bd9d-4a11-4e93-bae3-9800686b16f1}" ma:internalName="TaxCatchAll" ma:showField="CatchAllData" ma:web="7ece7523-39e3-431b-b1e1-c571455ed1a7">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992995B-EE28-4EC0-A2B6-78509AB66C5C}">
  <ds:schemaRefs>
    <ds:schemaRef ds:uri="http://schemas.microsoft.com/office/2006/documentManagement/types"/>
    <ds:schemaRef ds:uri="http://schemas.microsoft.com/office/2006/metadata/properties"/>
    <ds:schemaRef ds:uri="http://purl.org/dc/elements/1.1/"/>
    <ds:schemaRef ds:uri="http://schemas.openxmlformats.org/package/2006/metadata/core-properties"/>
    <ds:schemaRef ds:uri="7ece7523-39e3-431b-b1e1-c571455ed1a7"/>
    <ds:schemaRef ds:uri="http://purl.org/dc/terms/"/>
    <ds:schemaRef ds:uri="729e94fa-c04b-439f-b149-89e3d7a23f76"/>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9211F13F-7DB3-47DB-89B8-53C81F32A93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e94fa-c04b-439f-b149-89e3d7a23f76"/>
    <ds:schemaRef ds:uri="7ece7523-39e3-431b-b1e1-c571455ed1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A0443C3-16AC-4D01-9E4E-3D3D212601EF}">
  <ds:schemaRefs>
    <ds:schemaRef ds:uri="http://schemas.microsoft.com/sharepoint/v3/contenttype/forms"/>
  </ds:schemaRefs>
</ds:datastoreItem>
</file>

<file path=docMetadata/LabelInfo.xml><?xml version="1.0" encoding="utf-8"?>
<clbl:labelList xmlns:clbl="http://schemas.microsoft.com/office/2020/mipLabelMetadata">
  <clbl:label id="{a1681294-4857-4624-8d04-edaddb44ee26}" enabled="0" method="" siteId="{a1681294-4857-4624-8d04-edaddb44ee2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Profile </vt:lpstr>
      <vt:lpstr>Environment</vt:lpstr>
    </vt:vector>
  </TitlesOfParts>
  <Manager/>
  <Company>NexteraEnergy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Benitz, Aphra</dc:creator>
  <cp:keywords/>
  <dc:description/>
  <cp:lastModifiedBy>Benitz, Aphra</cp:lastModifiedBy>
  <cp:revision/>
  <dcterms:created xsi:type="dcterms:W3CDTF">2025-07-02T18:48:47Z</dcterms:created>
  <dcterms:modified xsi:type="dcterms:W3CDTF">2025-12-05T21:14:40Z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0x010100BC5A901DABBC824BBEBABEBDFE737319</vt:lpwstr>
  </property>
  <property fmtid="{D5CDD505-2E9C-101B-9397-08002B2CF9AE}" pid="3" name="MediaServiceImageTags">
    <vt:lpwstr/>
  </property>
</Properties>
</file>